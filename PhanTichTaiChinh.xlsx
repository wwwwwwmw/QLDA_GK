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testMS\"/>
    </mc:Choice>
  </mc:AlternateContent>
  <xr:revisionPtr revIDLastSave="0" documentId="13_ncr:1_{C910AF9D-73EB-460E-BB8C-20146794A10F}" xr6:coauthVersionLast="47" xr6:coauthVersionMax="47" xr10:uidLastSave="{00000000-0000-0000-0000-000000000000}"/>
  <bookViews>
    <workbookView xWindow="-108" yWindow="-108" windowWidth="23256" windowHeight="12456" xr2:uid="{FE6409E7-0C73-4AE2-8936-7074B13F19F6}"/>
  </bookViews>
  <sheets>
    <sheet name="WSM" sheetId="1" r:id="rId1"/>
    <sheet name="NPV_ROI" sheetId="2" r:id="rId2"/>
    <sheet name="Paybac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3" l="1"/>
  <c r="C5" i="3"/>
  <c r="C4" i="3"/>
  <c r="C3" i="3"/>
  <c r="E3" i="3" s="1"/>
  <c r="C2" i="3"/>
  <c r="B5" i="3"/>
  <c r="B4" i="3"/>
  <c r="B3" i="3"/>
  <c r="B2" i="3"/>
  <c r="D2" i="3" s="1"/>
  <c r="D3" i="3" s="1"/>
  <c r="D4" i="3" s="1"/>
  <c r="D5" i="3" s="1"/>
  <c r="B8" i="2"/>
  <c r="B7" i="2"/>
  <c r="C6" i="2"/>
  <c r="D6" i="2"/>
  <c r="E6" i="2"/>
  <c r="B6" i="2"/>
  <c r="F4" i="2"/>
  <c r="F6" i="2"/>
  <c r="F3" i="2"/>
  <c r="E5" i="2"/>
  <c r="D5" i="2"/>
  <c r="C5" i="2"/>
  <c r="C8" i="2" s="1"/>
  <c r="B5" i="2"/>
  <c r="D10" i="1"/>
  <c r="E10" i="1"/>
  <c r="F10" i="1"/>
  <c r="G10" i="1"/>
  <c r="H10" i="1"/>
  <c r="C10" i="1"/>
  <c r="E4" i="3" l="1"/>
  <c r="E5" i="3"/>
  <c r="F5" i="2"/>
  <c r="C7" i="2"/>
  <c r="D8" i="2"/>
  <c r="D7" i="2"/>
  <c r="E8" i="2"/>
  <c r="E7" i="2"/>
  <c r="F8" i="2" l="1"/>
  <c r="F7" i="2"/>
  <c r="B9" i="2" l="1"/>
  <c r="B10" i="2" s="1"/>
</calcChain>
</file>

<file path=xl/sharedStrings.xml><?xml version="1.0" encoding="utf-8"?>
<sst xmlns="http://schemas.openxmlformats.org/spreadsheetml/2006/main" count="33" uniqueCount="33">
  <si>
    <t>Năm (Year)</t>
  </si>
  <si>
    <t>Chi phí (Costs)</t>
  </si>
  <si>
    <t>Lợi ích (Benefits)</t>
  </si>
  <si>
    <t>Criteria (Tiêu chí)</t>
  </si>
  <si>
    <t>Weight (Trọng số)</t>
  </si>
  <si>
    <t>Đăng ký/Đăng nhập</t>
  </si>
  <si>
    <t xml:space="preserve">Quản lý Sản phẩm </t>
  </si>
  <si>
    <t>Giỏ hàng &amp; Thanh toán</t>
  </si>
  <si>
    <t>Tìm kiếm &amp; Lọc SP</t>
  </si>
  <si>
    <t>Đánh giá &amp; Bình luận</t>
  </si>
  <si>
    <t>Xem đơn hàng</t>
  </si>
  <si>
    <t>1. UI: Thân thiện, dễ dùng, dễ nhớ</t>
  </si>
  <si>
    <t>2. Tốc độ truy cập &amp; xử lý</t>
  </si>
  <si>
    <t>3. Hỗ trợ: Nhiều người dùng</t>
  </si>
  <si>
    <t>4. Nội dung: Phong phú, đa dạng, hấp dẫn</t>
  </si>
  <si>
    <t xml:space="preserve">5. Chức năng Ghi log </t>
  </si>
  <si>
    <t>6. Màu sắc, hình ảnh, âm thanh: Đa dạng</t>
  </si>
  <si>
    <t>7. Chức năng linh hoạt &amp; sáng tạo</t>
  </si>
  <si>
    <t>Tổng cộng</t>
  </si>
  <si>
    <t>Score</t>
  </si>
  <si>
    <t>Tổng</t>
  </si>
  <si>
    <t>Dòng tiền (Lợi ích - Chi phí)</t>
  </si>
  <si>
    <t>Hệ số chiết khấu (Factor)</t>
  </si>
  <si>
    <t>Lợi ích đã chiết khấu</t>
  </si>
  <si>
    <t>Chi phí đã chiết khấu</t>
  </si>
  <si>
    <t>NPV</t>
  </si>
  <si>
    <t>ROI</t>
  </si>
  <si>
    <t xml:space="preserve">Discount rate </t>
  </si>
  <si>
    <t>Year</t>
  </si>
  <si>
    <t>Costs</t>
  </si>
  <si>
    <t>Benefits</t>
  </si>
  <si>
    <t>Cum Costs</t>
  </si>
  <si>
    <t>Cum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</si>
</sst>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i/>
      <sz val="11"/>
      <color rgb="FF1B1C1D"/>
      <name val="Arial"/>
      <family val="2"/>
    </font>
    <font>
      <sz val="13"/>
      <color rgb="FF1B1C1D"/>
      <name val="Times New Roman"/>
      <family val="1"/>
    </font>
    <font>
      <sz val="10"/>
      <color theme="1"/>
      <name val="Arial"/>
      <family val="2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3" fontId="2" fillId="0" borderId="0" xfId="0" applyNumberFormat="1" applyFont="1" applyBorder="1" applyAlignment="1">
      <alignment horizontal="left" vertical="center" wrapText="1" indent="1" readingOrder="1"/>
    </xf>
    <xf numFmtId="0" fontId="4" fillId="0" borderId="0" xfId="0" applyFont="1" applyBorder="1" applyAlignment="1">
      <alignment horizontal="left" vertical="center" wrapText="1" indent="1" readingOrder="1"/>
    </xf>
    <xf numFmtId="0" fontId="6" fillId="0" borderId="1" xfId="0" applyFont="1" applyBorder="1"/>
    <xf numFmtId="0" fontId="6" fillId="0" borderId="2" xfId="0" applyFont="1" applyBorder="1" applyAlignment="1">
      <alignment wrapText="1"/>
    </xf>
    <xf numFmtId="9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3" fillId="0" borderId="0" xfId="0" applyFont="1" applyBorder="1" applyAlignment="1">
      <alignment horizontal="left" vertical="center" wrapText="1" indent="1" readingOrder="1"/>
    </xf>
    <xf numFmtId="0" fontId="5" fillId="0" borderId="0" xfId="0" applyFont="1" applyBorder="1" applyAlignment="1">
      <alignment wrapText="1"/>
    </xf>
    <xf numFmtId="3" fontId="5" fillId="0" borderId="0" xfId="0" applyNumberFormat="1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3" fontId="0" fillId="0" borderId="0" xfId="0" applyNumberFormat="1" applyBorder="1"/>
    <xf numFmtId="0" fontId="0" fillId="0" borderId="0" xfId="0" applyBorder="1"/>
    <xf numFmtId="0" fontId="6" fillId="0" borderId="0" xfId="0" applyFont="1"/>
    <xf numFmtId="9" fontId="6" fillId="0" borderId="0" xfId="0" applyNumberFormat="1" applyFont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3" fontId="4" fillId="0" borderId="0" xfId="0" applyNumberFormat="1" applyFont="1" applyBorder="1" applyAlignment="1">
      <alignment horizontal="left" vertical="center" wrapText="1" indent="1" readingOrder="1"/>
    </xf>
    <xf numFmtId="43" fontId="6" fillId="0" borderId="0" xfId="1" applyFont="1" applyBorder="1" applyAlignment="1">
      <alignment wrapText="1"/>
    </xf>
    <xf numFmtId="3" fontId="6" fillId="0" borderId="0" xfId="0" applyNumberFormat="1" applyFont="1" applyBorder="1" applyAlignment="1">
      <alignment wrapText="1"/>
    </xf>
    <xf numFmtId="3" fontId="6" fillId="0" borderId="0" xfId="0" applyNumberFormat="1" applyFont="1" applyBorder="1"/>
    <xf numFmtId="0" fontId="6" fillId="0" borderId="0" xfId="0" applyFont="1" applyBorder="1"/>
    <xf numFmtId="43" fontId="6" fillId="0" borderId="0" xfId="0" applyNumberFormat="1" applyFont="1" applyBorder="1"/>
    <xf numFmtId="3" fontId="6" fillId="0" borderId="0" xfId="0" applyNumberFormat="1" applyFont="1" applyBorder="1" applyAlignment="1">
      <alignment horizontal="right" wrapText="1"/>
    </xf>
    <xf numFmtId="3" fontId="6" fillId="0" borderId="0" xfId="0" applyNumberFormat="1" applyFont="1"/>
    <xf numFmtId="0" fontId="6" fillId="0" borderId="0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WSM!$C$1:$H$1</c:f>
              <c:strCache>
                <c:ptCount val="6"/>
                <c:pt idx="0">
                  <c:v>Đăng ký/Đăng nhập</c:v>
                </c:pt>
                <c:pt idx="1">
                  <c:v>Quản lý Sản phẩm </c:v>
                </c:pt>
                <c:pt idx="2">
                  <c:v>Giỏ hàng &amp; Thanh toán</c:v>
                </c:pt>
                <c:pt idx="3">
                  <c:v>Tìm kiếm &amp; Lọc SP</c:v>
                </c:pt>
                <c:pt idx="4">
                  <c:v>Đánh giá &amp; Bình luận</c:v>
                </c:pt>
                <c:pt idx="5">
                  <c:v>Xem đơn hàng</c:v>
                </c:pt>
              </c:strCache>
            </c:strRef>
          </c:cat>
          <c:val>
            <c:numRef>
              <c:f>WSM!$C$10:$H$10</c:f>
              <c:numCache>
                <c:formatCode>General</c:formatCode>
                <c:ptCount val="6"/>
                <c:pt idx="0">
                  <c:v>70.5</c:v>
                </c:pt>
                <c:pt idx="1">
                  <c:v>78.75</c:v>
                </c:pt>
                <c:pt idx="2">
                  <c:v>80.25</c:v>
                </c:pt>
                <c:pt idx="3">
                  <c:v>84</c:v>
                </c:pt>
                <c:pt idx="4">
                  <c:v>71.25</c:v>
                </c:pt>
                <c:pt idx="5">
                  <c:v>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E-4BD8-BD39-6E93B88E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3154352"/>
        <c:axId val="1853157712"/>
      </c:barChart>
      <c:catAx>
        <c:axId val="18531543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157712"/>
        <c:crosses val="autoZero"/>
        <c:auto val="1"/>
        <c:lblAlgn val="ctr"/>
        <c:lblOffset val="100"/>
        <c:noMultiLvlLbl val="0"/>
      </c:catAx>
      <c:valAx>
        <c:axId val="18531577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Payback</a:t>
            </a:r>
          </a:p>
        </c:rich>
      </c:tx>
      <c:overlay val="0"/>
      <c:spPr>
        <a:noFill/>
        <a:ln>
          <a:solidFill>
            <a:schemeClr val="accent1">
              <a:alpha val="97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Payback!$D$1</c:f>
              <c:strCache>
                <c:ptCount val="1"/>
                <c:pt idx="0">
                  <c:v>Cum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Payback!$A$2:$A$5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Payback!$D$2:$D$5</c:f>
              <c:numCache>
                <c:formatCode>#,##0</c:formatCode>
                <c:ptCount val="4"/>
                <c:pt idx="0">
                  <c:v>19650000</c:v>
                </c:pt>
                <c:pt idx="1">
                  <c:v>23650000</c:v>
                </c:pt>
                <c:pt idx="2">
                  <c:v>27650000</c:v>
                </c:pt>
                <c:pt idx="3">
                  <c:v>31650000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4-405B-AA9C-5AAE5187DDAB}"/>
            </c:ext>
          </c:extLst>
        </c:ser>
        <c:ser>
          <c:idx val="2"/>
          <c:order val="2"/>
          <c:tx>
            <c:strRef>
              <c:f>Payback!$E$1</c:f>
              <c:strCache>
                <c:ptCount val="1"/>
                <c:pt idx="0">
                  <c:v>Cum Benefits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Payback!$A$2:$A$5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Payback!$E$2:$E$5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8000000</c:v>
                </c:pt>
                <c:pt idx="2">
                  <c:v>23000000</c:v>
                </c:pt>
                <c:pt idx="3">
                  <c:v>51000000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34-405B-AA9C-5AAE5187D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271008"/>
        <c:axId val="18542762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Payback!$A$1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Payback!$A$2:$A$5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Payback!$A$2:$A$5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D34-405B-AA9C-5AAE5187DDAB}"/>
                  </c:ext>
                </c:extLst>
              </c15:ser>
            </c15:filteredLineSeries>
          </c:ext>
        </c:extLst>
      </c:lineChart>
      <c:catAx>
        <c:axId val="185427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276288"/>
        <c:crosses val="autoZero"/>
        <c:auto val="1"/>
        <c:lblAlgn val="ctr"/>
        <c:lblOffset val="100"/>
        <c:noMultiLvlLbl val="0"/>
      </c:catAx>
      <c:valAx>
        <c:axId val="185427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2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11</xdr:row>
      <xdr:rowOff>53340</xdr:rowOff>
    </xdr:from>
    <xdr:to>
      <xdr:col>4</xdr:col>
      <xdr:colOff>487680</xdr:colOff>
      <xdr:row>26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729F6C-595E-6419-DB04-B1D85D64D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777240</xdr:colOff>
      <xdr:row>6</xdr:row>
      <xdr:rowOff>30480</xdr:rowOff>
    </xdr:from>
    <xdr:to>
      <xdr:col>4</xdr:col>
      <xdr:colOff>830580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845E7-B114-B8B7-DE8D-91B794ADA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72BE-41EF-4BE3-9F1D-549B8E03E117}">
  <dimension ref="A1:H10"/>
  <sheetViews>
    <sheetView tabSelected="1" zoomScale="85" zoomScaleNormal="85" workbookViewId="0">
      <selection activeCell="F22" sqref="F22"/>
    </sheetView>
  </sheetViews>
  <sheetFormatPr defaultRowHeight="14.4" x14ac:dyDescent="0.3"/>
  <cols>
    <col min="1" max="1" width="45" customWidth="1"/>
    <col min="2" max="2" width="21.33203125" customWidth="1"/>
    <col min="3" max="3" width="23.33203125" customWidth="1"/>
    <col min="4" max="4" width="19.6640625" customWidth="1"/>
    <col min="5" max="5" width="25" customWidth="1"/>
    <col min="6" max="6" width="22.33203125" customWidth="1"/>
    <col min="7" max="7" width="26.109375" customWidth="1"/>
    <col min="8" max="8" width="19.109375" customWidth="1"/>
  </cols>
  <sheetData>
    <row r="1" spans="1:8" ht="17.399999999999999" thickBot="1" x14ac:dyDescent="0.35">
      <c r="A1" s="4" t="s">
        <v>3</v>
      </c>
      <c r="B1" s="4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ht="17.399999999999999" thickBot="1" x14ac:dyDescent="0.35">
      <c r="A2" s="5" t="s">
        <v>11</v>
      </c>
      <c r="B2" s="6">
        <v>0.25</v>
      </c>
      <c r="C2" s="7">
        <v>85</v>
      </c>
      <c r="D2" s="7">
        <v>80</v>
      </c>
      <c r="E2" s="7">
        <v>90</v>
      </c>
      <c r="F2" s="7">
        <v>85</v>
      </c>
      <c r="G2" s="7">
        <v>75</v>
      </c>
      <c r="H2" s="7">
        <v>85</v>
      </c>
    </row>
    <row r="3" spans="1:8" ht="17.399999999999999" thickBot="1" x14ac:dyDescent="0.35">
      <c r="A3" s="5" t="s">
        <v>12</v>
      </c>
      <c r="B3" s="6">
        <v>0.15</v>
      </c>
      <c r="C3" s="7">
        <v>80</v>
      </c>
      <c r="D3" s="7">
        <v>75</v>
      </c>
      <c r="E3" s="7">
        <v>85</v>
      </c>
      <c r="F3" s="7">
        <v>90</v>
      </c>
      <c r="G3" s="7">
        <v>70</v>
      </c>
      <c r="H3" s="7">
        <v>80</v>
      </c>
    </row>
    <row r="4" spans="1:8" ht="17.399999999999999" thickBot="1" x14ac:dyDescent="0.35">
      <c r="A4" s="5" t="s">
        <v>13</v>
      </c>
      <c r="B4" s="6">
        <v>0.1</v>
      </c>
      <c r="C4" s="7">
        <v>85</v>
      </c>
      <c r="D4" s="7">
        <v>70</v>
      </c>
      <c r="E4" s="7">
        <v>80</v>
      </c>
      <c r="F4" s="7">
        <v>80</v>
      </c>
      <c r="G4" s="7">
        <v>60</v>
      </c>
      <c r="H4" s="7">
        <v>75</v>
      </c>
    </row>
    <row r="5" spans="1:8" ht="17.399999999999999" thickBot="1" x14ac:dyDescent="0.35">
      <c r="A5" s="5" t="s">
        <v>14</v>
      </c>
      <c r="B5" s="6">
        <v>0.15</v>
      </c>
      <c r="C5" s="7">
        <v>50</v>
      </c>
      <c r="D5" s="7">
        <v>85</v>
      </c>
      <c r="E5" s="7">
        <v>70</v>
      </c>
      <c r="F5" s="7">
        <v>90</v>
      </c>
      <c r="G5" s="7">
        <v>80</v>
      </c>
      <c r="H5" s="7">
        <v>60</v>
      </c>
    </row>
    <row r="6" spans="1:8" ht="17.399999999999999" thickBot="1" x14ac:dyDescent="0.35">
      <c r="A6" s="5" t="s">
        <v>15</v>
      </c>
      <c r="B6" s="6">
        <v>0.05</v>
      </c>
      <c r="C6" s="7">
        <v>65</v>
      </c>
      <c r="D6" s="7">
        <v>75</v>
      </c>
      <c r="E6" s="7">
        <v>70</v>
      </c>
      <c r="F6" s="7">
        <v>75</v>
      </c>
      <c r="G6" s="7">
        <v>60</v>
      </c>
      <c r="H6" s="7">
        <v>65</v>
      </c>
    </row>
    <row r="7" spans="1:8" ht="17.399999999999999" thickBot="1" x14ac:dyDescent="0.35">
      <c r="A7" s="5" t="s">
        <v>16</v>
      </c>
      <c r="B7" s="6">
        <v>0.2</v>
      </c>
      <c r="C7" s="7">
        <v>60</v>
      </c>
      <c r="D7" s="7">
        <v>80</v>
      </c>
      <c r="E7" s="7">
        <v>75</v>
      </c>
      <c r="F7" s="7">
        <v>80</v>
      </c>
      <c r="G7" s="7">
        <v>70</v>
      </c>
      <c r="H7" s="7">
        <v>65</v>
      </c>
    </row>
    <row r="8" spans="1:8" ht="17.399999999999999" thickBot="1" x14ac:dyDescent="0.35">
      <c r="A8" s="5" t="s">
        <v>17</v>
      </c>
      <c r="B8" s="6">
        <v>0.1</v>
      </c>
      <c r="C8" s="7">
        <v>60</v>
      </c>
      <c r="D8" s="7">
        <v>80</v>
      </c>
      <c r="E8" s="7">
        <v>80</v>
      </c>
      <c r="F8" s="7">
        <v>80</v>
      </c>
      <c r="G8" s="7">
        <v>70</v>
      </c>
      <c r="H8" s="7">
        <v>65</v>
      </c>
    </row>
    <row r="9" spans="1:8" ht="17.399999999999999" thickBot="1" x14ac:dyDescent="0.35">
      <c r="A9" s="5" t="s">
        <v>18</v>
      </c>
      <c r="B9" s="6">
        <v>1</v>
      </c>
      <c r="C9" s="5"/>
      <c r="D9" s="5"/>
      <c r="E9" s="5"/>
      <c r="F9" s="5"/>
      <c r="G9" s="5"/>
      <c r="H9" s="5"/>
    </row>
    <row r="10" spans="1:8" ht="16.8" x14ac:dyDescent="0.3">
      <c r="A10" s="8" t="s">
        <v>19</v>
      </c>
      <c r="B10" s="4"/>
      <c r="C10" s="4">
        <f>SUMPRODUCT($B$2:$B$8, C2:C8)</f>
        <v>70.5</v>
      </c>
      <c r="D10" s="4">
        <f t="shared" ref="D10:H10" si="0">SUMPRODUCT($B$2:$B$8, D2:D8)</f>
        <v>78.75</v>
      </c>
      <c r="E10" s="4">
        <f t="shared" si="0"/>
        <v>80.25</v>
      </c>
      <c r="F10" s="4">
        <f t="shared" si="0"/>
        <v>84</v>
      </c>
      <c r="G10" s="4">
        <f t="shared" si="0"/>
        <v>71.25</v>
      </c>
      <c r="H10" s="4">
        <f t="shared" si="0"/>
        <v>72.5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B5E0-3E3F-4244-BCF6-C1F7806B7E9B}">
  <dimension ref="A1:I25"/>
  <sheetViews>
    <sheetView zoomScaleNormal="100" workbookViewId="0">
      <selection activeCell="H12" sqref="H12"/>
    </sheetView>
  </sheetViews>
  <sheetFormatPr defaultRowHeight="14.4" x14ac:dyDescent="0.3"/>
  <cols>
    <col min="1" max="1" width="25.109375" customWidth="1"/>
    <col min="2" max="2" width="18" customWidth="1"/>
    <col min="3" max="3" width="14.44140625" customWidth="1"/>
    <col min="4" max="4" width="14.6640625" customWidth="1"/>
    <col min="5" max="5" width="20.109375" customWidth="1"/>
    <col min="6" max="6" width="20.5546875" customWidth="1"/>
    <col min="7" max="7" width="15.44140625" customWidth="1"/>
    <col min="8" max="8" width="13.33203125" customWidth="1"/>
    <col min="9" max="9" width="13.88671875" customWidth="1"/>
    <col min="10" max="14" width="8.88671875" customWidth="1"/>
  </cols>
  <sheetData>
    <row r="1" spans="1:9" ht="16.8" x14ac:dyDescent="0.3">
      <c r="A1" s="15" t="s">
        <v>27</v>
      </c>
      <c r="B1" s="16">
        <v>0.1</v>
      </c>
      <c r="C1" s="15"/>
      <c r="D1" s="15"/>
      <c r="E1" s="15"/>
      <c r="F1" s="15"/>
    </row>
    <row r="2" spans="1:9" ht="16.8" x14ac:dyDescent="0.3">
      <c r="A2" s="3" t="s">
        <v>0</v>
      </c>
      <c r="B2" s="3">
        <v>0</v>
      </c>
      <c r="C2" s="3">
        <v>1</v>
      </c>
      <c r="D2" s="3">
        <v>2</v>
      </c>
      <c r="E2" s="3">
        <v>3</v>
      </c>
      <c r="F2" s="17" t="s">
        <v>20</v>
      </c>
      <c r="G2" s="10"/>
      <c r="H2" s="10"/>
      <c r="I2" s="10"/>
    </row>
    <row r="3" spans="1:9" ht="16.8" x14ac:dyDescent="0.3">
      <c r="A3" s="17" t="s">
        <v>2</v>
      </c>
      <c r="B3" s="18">
        <v>0</v>
      </c>
      <c r="C3" s="19">
        <v>8000000</v>
      </c>
      <c r="D3" s="19">
        <v>15000000</v>
      </c>
      <c r="E3" s="19">
        <v>28000000</v>
      </c>
      <c r="F3" s="20">
        <f>SUM(B3:E3)</f>
        <v>51000000</v>
      </c>
      <c r="G3" s="11"/>
      <c r="H3" s="11"/>
      <c r="I3" s="10"/>
    </row>
    <row r="4" spans="1:9" ht="16.8" x14ac:dyDescent="0.3">
      <c r="A4" s="17" t="s">
        <v>1</v>
      </c>
      <c r="B4" s="21">
        <v>19650000</v>
      </c>
      <c r="C4" s="19">
        <v>4000000</v>
      </c>
      <c r="D4" s="19">
        <v>4000000</v>
      </c>
      <c r="E4" s="19">
        <v>4000000</v>
      </c>
      <c r="F4" s="20">
        <f t="shared" ref="F4:F8" si="0">SUM(B4:E4)</f>
        <v>31650000</v>
      </c>
      <c r="G4" s="11"/>
      <c r="H4" s="11"/>
      <c r="I4" s="10"/>
    </row>
    <row r="5" spans="1:9" ht="33.6" x14ac:dyDescent="0.3">
      <c r="A5" s="17" t="s">
        <v>21</v>
      </c>
      <c r="B5" s="21">
        <f>B3-B4</f>
        <v>-19650000</v>
      </c>
      <c r="C5" s="21">
        <f t="shared" ref="C5:E5" si="1">C3-C4</f>
        <v>4000000</v>
      </c>
      <c r="D5" s="21">
        <f t="shared" si="1"/>
        <v>11000000</v>
      </c>
      <c r="E5" s="21">
        <f t="shared" si="1"/>
        <v>24000000</v>
      </c>
      <c r="F5" s="20">
        <f t="shared" si="0"/>
        <v>19350000</v>
      </c>
      <c r="G5" s="11"/>
      <c r="H5" s="11"/>
      <c r="I5" s="10"/>
    </row>
    <row r="6" spans="1:9" ht="33.6" x14ac:dyDescent="0.3">
      <c r="A6" s="17" t="s">
        <v>22</v>
      </c>
      <c r="B6" s="18">
        <f>1/(1+$B$1)^B2</f>
        <v>1</v>
      </c>
      <c r="C6" s="18">
        <f t="shared" ref="C6:E6" si="2">1/(1+$B$1)^C2</f>
        <v>0.90909090909090906</v>
      </c>
      <c r="D6" s="18">
        <f t="shared" si="2"/>
        <v>0.82644628099173545</v>
      </c>
      <c r="E6" s="18">
        <f t="shared" si="2"/>
        <v>0.75131480090157754</v>
      </c>
      <c r="F6" s="17">
        <f t="shared" si="0"/>
        <v>3.4868519909842224</v>
      </c>
      <c r="G6" s="12"/>
      <c r="H6" s="12"/>
      <c r="I6" s="10"/>
    </row>
    <row r="7" spans="1:9" ht="16.8" x14ac:dyDescent="0.3">
      <c r="A7" s="17" t="s">
        <v>23</v>
      </c>
      <c r="B7" s="18">
        <f>B3*B6</f>
        <v>0</v>
      </c>
      <c r="C7" s="18">
        <f t="shared" ref="C7:E7" si="3">C3*C6</f>
        <v>7272727.2727272725</v>
      </c>
      <c r="D7" s="18">
        <f t="shared" si="3"/>
        <v>12396694.214876032</v>
      </c>
      <c r="E7" s="18">
        <f t="shared" si="3"/>
        <v>21036814.425244171</v>
      </c>
      <c r="F7" s="20">
        <f t="shared" si="0"/>
        <v>40706235.912847474</v>
      </c>
      <c r="G7" s="12"/>
      <c r="H7" s="12"/>
      <c r="I7" s="10"/>
    </row>
    <row r="8" spans="1:9" ht="16.8" x14ac:dyDescent="0.3">
      <c r="A8" s="17" t="s">
        <v>24</v>
      </c>
      <c r="B8" s="21">
        <f>B4*B6</f>
        <v>19650000</v>
      </c>
      <c r="C8" s="21">
        <f>C4*C6</f>
        <v>3636363.6363636362</v>
      </c>
      <c r="D8" s="21">
        <f t="shared" ref="D8:E8" si="4">D4*D6</f>
        <v>3305785.1239669416</v>
      </c>
      <c r="E8" s="21">
        <f t="shared" si="4"/>
        <v>3005259.2036063103</v>
      </c>
      <c r="F8" s="20">
        <f t="shared" si="0"/>
        <v>29597407.963936891</v>
      </c>
      <c r="G8" s="11"/>
      <c r="H8" s="11"/>
      <c r="I8" s="10"/>
    </row>
    <row r="9" spans="1:9" ht="16.8" x14ac:dyDescent="0.3">
      <c r="A9" s="17" t="s">
        <v>25</v>
      </c>
      <c r="B9" s="22">
        <f>F7-F8</f>
        <v>11108827.948910583</v>
      </c>
      <c r="C9" s="22"/>
      <c r="D9" s="22"/>
      <c r="E9" s="22"/>
      <c r="F9" s="20"/>
      <c r="G9" s="13"/>
      <c r="H9" s="13"/>
      <c r="I9" s="10"/>
    </row>
    <row r="10" spans="1:9" ht="16.8" x14ac:dyDescent="0.3">
      <c r="A10" s="17" t="s">
        <v>26</v>
      </c>
      <c r="B10" s="24">
        <f>B9/F8</f>
        <v>0.37533110880676407</v>
      </c>
      <c r="C10" s="23"/>
      <c r="D10" s="23"/>
      <c r="E10" s="23"/>
      <c r="F10" s="17"/>
      <c r="G10" s="14"/>
      <c r="H10" s="14"/>
      <c r="I10" s="10"/>
    </row>
    <row r="12" spans="1:9" x14ac:dyDescent="0.3">
      <c r="A12" s="1"/>
      <c r="B12" s="1"/>
      <c r="C12" s="1"/>
      <c r="D12" s="1"/>
      <c r="E12" s="1"/>
      <c r="F12" s="1"/>
    </row>
    <row r="13" spans="1:9" x14ac:dyDescent="0.3">
      <c r="A13" s="1"/>
      <c r="B13" s="2"/>
      <c r="C13" s="2"/>
      <c r="D13" s="2"/>
      <c r="E13" s="2"/>
      <c r="F13" s="2"/>
    </row>
    <row r="14" spans="1:9" x14ac:dyDescent="0.3">
      <c r="A14" s="9"/>
      <c r="B14" s="9"/>
      <c r="C14" s="9"/>
      <c r="D14" s="9"/>
      <c r="E14" s="9"/>
      <c r="F14" s="1"/>
    </row>
    <row r="15" spans="1:9" x14ac:dyDescent="0.3">
      <c r="A15" s="1"/>
      <c r="B15" s="2"/>
      <c r="C15" s="2"/>
      <c r="D15" s="2"/>
      <c r="E15" s="2"/>
      <c r="F15" s="2"/>
    </row>
    <row r="16" spans="1:9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2"/>
      <c r="D17" s="2"/>
      <c r="E17" s="2"/>
      <c r="F17" s="2"/>
    </row>
    <row r="18" spans="1:6" x14ac:dyDescent="0.3">
      <c r="A18" s="9"/>
      <c r="B18" s="9"/>
      <c r="C18" s="9"/>
      <c r="D18" s="9"/>
      <c r="E18" s="9"/>
      <c r="F18" s="1"/>
    </row>
    <row r="19" spans="1:6" x14ac:dyDescent="0.3">
      <c r="A19" s="1"/>
      <c r="B19" s="1"/>
      <c r="C19" s="2"/>
      <c r="D19" s="2"/>
      <c r="E19" s="2"/>
      <c r="F19" s="2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2"/>
      <c r="C21" s="2"/>
      <c r="D21" s="2"/>
      <c r="E21" s="2"/>
      <c r="F21" s="2"/>
    </row>
    <row r="22" spans="1:6" x14ac:dyDescent="0.3">
      <c r="A22" s="9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2"/>
      <c r="C24" s="2"/>
      <c r="D24" s="2"/>
      <c r="E24" s="2"/>
      <c r="F24" s="1"/>
    </row>
    <row r="25" spans="1:6" x14ac:dyDescent="0.3">
      <c r="A25" s="9"/>
      <c r="B25" s="1"/>
      <c r="C25" s="1"/>
      <c r="D25" s="1"/>
      <c r="E25" s="1"/>
      <c r="F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D652-8CF4-40C2-8EAC-3F6FF20473BF}">
  <dimension ref="A1:E5"/>
  <sheetViews>
    <sheetView workbookViewId="0">
      <selection activeCell="I17" sqref="I17"/>
    </sheetView>
  </sheetViews>
  <sheetFormatPr defaultRowHeight="14.4" x14ac:dyDescent="0.3"/>
  <cols>
    <col min="1" max="1" width="18.21875" customWidth="1"/>
    <col min="2" max="2" width="15.33203125" customWidth="1"/>
    <col min="3" max="3" width="16.44140625" customWidth="1"/>
    <col min="4" max="4" width="15.88671875" customWidth="1"/>
    <col min="5" max="5" width="16" customWidth="1"/>
  </cols>
  <sheetData>
    <row r="1" spans="1:5" ht="16.8" x14ac:dyDescent="0.3">
      <c r="A1" s="17" t="s">
        <v>28</v>
      </c>
      <c r="B1" s="18" t="s">
        <v>29</v>
      </c>
      <c r="C1" s="18" t="s">
        <v>30</v>
      </c>
      <c r="D1" s="18" t="s">
        <v>31</v>
      </c>
      <c r="E1" s="18" t="s">
        <v>32</v>
      </c>
    </row>
    <row r="2" spans="1:5" ht="16.8" x14ac:dyDescent="0.3">
      <c r="A2" s="17">
        <v>0</v>
      </c>
      <c r="B2" s="25">
        <f>NPV_ROI!B4</f>
        <v>19650000</v>
      </c>
      <c r="C2" s="18">
        <f>NPV_ROI!B3</f>
        <v>0</v>
      </c>
      <c r="D2" s="25">
        <f>B2</f>
        <v>19650000</v>
      </c>
      <c r="E2" s="18">
        <f>C2</f>
        <v>0</v>
      </c>
    </row>
    <row r="3" spans="1:5" ht="16.8" x14ac:dyDescent="0.3">
      <c r="A3" s="17">
        <v>1</v>
      </c>
      <c r="B3" s="21">
        <f>NPV_ROI!C4</f>
        <v>4000000</v>
      </c>
      <c r="C3" s="25">
        <f>NPV_ROI!C3</f>
        <v>8000000</v>
      </c>
      <c r="D3" s="25">
        <f>D2+B3</f>
        <v>23650000</v>
      </c>
      <c r="E3" s="25">
        <f>E2+C3</f>
        <v>8000000</v>
      </c>
    </row>
    <row r="4" spans="1:5" ht="16.8" x14ac:dyDescent="0.3">
      <c r="A4" s="15">
        <v>2</v>
      </c>
      <c r="B4" s="25">
        <f>NPV_ROI!D4</f>
        <v>4000000</v>
      </c>
      <c r="C4" s="26">
        <f>NPV_ROI!D3</f>
        <v>15000000</v>
      </c>
      <c r="D4" s="25">
        <f t="shared" ref="D4:D5" si="0">D3+B4</f>
        <v>27650000</v>
      </c>
      <c r="E4" s="25">
        <f t="shared" ref="E4:E5" si="1">E3+C4</f>
        <v>23000000</v>
      </c>
    </row>
    <row r="5" spans="1:5" ht="16.8" x14ac:dyDescent="0.3">
      <c r="A5" s="27">
        <v>3</v>
      </c>
      <c r="B5" s="21">
        <f>NPV_ROI!E4</f>
        <v>4000000</v>
      </c>
      <c r="C5" s="26">
        <f>NPV_ROI!E3</f>
        <v>28000000</v>
      </c>
      <c r="D5" s="25">
        <f t="shared" si="0"/>
        <v>31650000</v>
      </c>
      <c r="E5" s="25">
        <f t="shared" si="1"/>
        <v>51000000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WSM</vt:lpstr>
      <vt:lpstr>NPV_ROI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2025-11-19T07:18:53Z</dcterms:created>
  <dcterms:modified xsi:type="dcterms:W3CDTF">2025-12-05T13:21:46Z</dcterms:modified>
</cp:coreProperties>
</file>